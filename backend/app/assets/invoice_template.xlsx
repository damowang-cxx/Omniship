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EP客人/深圳欧桥-EP05-押金5000+5000Fedex/"/>
    </mc:Choice>
  </mc:AlternateContent>
  <xr:revisionPtr revIDLastSave="0" documentId="13_ncr:1_{2B2F48B9-F71E-3442-A69E-442A5118595D}" xr6:coauthVersionLast="47" xr6:coauthVersionMax="47" xr10:uidLastSave="{00000000-0000-0000-0000-000000000000}"/>
  <bookViews>
    <workbookView xWindow="0" yWindow="500" windowWidth="28800" windowHeight="16080" xr2:uid="{2D820469-A6C6-6D4B-BD6A-C2C10C2433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G35" i="1"/>
  <c r="G36" i="1"/>
  <c r="G37" i="1"/>
  <c r="G28" i="1" l="1"/>
  <c r="G29" i="1"/>
  <c r="G30" i="1"/>
  <c r="G31" i="1"/>
  <c r="G32" i="1"/>
  <c r="G33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39" i="1" l="1"/>
</calcChain>
</file>

<file path=xl/sharedStrings.xml><?xml version="1.0" encoding="utf-8"?>
<sst xmlns="http://schemas.openxmlformats.org/spreadsheetml/2006/main" count="41" uniqueCount="31">
  <si>
    <t>INVOICE</t>
    <phoneticPr fontId="1" type="noConversion"/>
  </si>
  <si>
    <t>INVOICE NO.</t>
    <phoneticPr fontId="1" type="noConversion"/>
  </si>
  <si>
    <t>付款方</t>
    <phoneticPr fontId="1" type="noConversion"/>
  </si>
  <si>
    <t>EPIX LOGISTICS CO., LIMITED
RM 9042, 9/F, BLK B, CHUNG MEI CENTRE, 15-17 HING YIP STREET
Kwun Tong District
中國香港特別行政區</t>
    <phoneticPr fontId="1" type="noConversion"/>
  </si>
  <si>
    <t>簽發日期</t>
    <phoneticPr fontId="1" type="noConversion"/>
  </si>
  <si>
    <t>簽發方</t>
    <phoneticPr fontId="1" type="noConversion"/>
  </si>
  <si>
    <t>產品或服務</t>
    <phoneticPr fontId="1" type="noConversion"/>
  </si>
  <si>
    <t>單價/EUR</t>
    <phoneticPr fontId="1" type="noConversion"/>
  </si>
  <si>
    <t>總共/EUR</t>
    <phoneticPr fontId="1" type="noConversion"/>
  </si>
  <si>
    <t>應付金額</t>
    <phoneticPr fontId="1" type="noConversion"/>
  </si>
  <si>
    <t xml:space="preserve">數量 </t>
    <phoneticPr fontId="1" type="noConversion"/>
  </si>
  <si>
    <t>OUQIAO LOGISTICS HONG KONG CO.,LIMITED FLAT/RM A 15/F GOLDFIELD INDUSTRIAL BUILD- ING144-150
TAI LIN PAI ROAD KWAI CHUNG NT
Kwai Tsing District
中國香港特別行政區</t>
    <phoneticPr fontId="1" type="noConversion"/>
  </si>
  <si>
    <t>INV26082</t>
    <phoneticPr fontId="1" type="noConversion"/>
  </si>
  <si>
    <t>217-09194253</t>
    <phoneticPr fontId="1" type="noConversion"/>
  </si>
  <si>
    <t>217-09194253 duty</t>
    <phoneticPr fontId="1" type="noConversion"/>
  </si>
  <si>
    <t>871-54811831</t>
    <phoneticPr fontId="1" type="noConversion"/>
  </si>
  <si>
    <t>871-54811831 duty</t>
    <phoneticPr fontId="1" type="noConversion"/>
  </si>
  <si>
    <t>074-75888201</t>
    <phoneticPr fontId="1" type="noConversion"/>
  </si>
  <si>
    <t>074-75888201 duty</t>
    <phoneticPr fontId="1" type="noConversion"/>
  </si>
  <si>
    <t>488-50022840</t>
    <phoneticPr fontId="1" type="noConversion"/>
  </si>
  <si>
    <t>488-50022840 duty</t>
    <phoneticPr fontId="1" type="noConversion"/>
  </si>
  <si>
    <t>488-50022851</t>
    <phoneticPr fontId="1" type="noConversion"/>
  </si>
  <si>
    <t>488-50022851 duty</t>
    <phoneticPr fontId="1" type="noConversion"/>
  </si>
  <si>
    <t>871-54839842</t>
    <phoneticPr fontId="1" type="noConversion"/>
  </si>
  <si>
    <t>871-54839842 duty</t>
    <phoneticPr fontId="1" type="noConversion"/>
  </si>
  <si>
    <t>074-75890710</t>
    <phoneticPr fontId="1" type="noConversion"/>
  </si>
  <si>
    <t>074-75890710 duty</t>
    <phoneticPr fontId="1" type="noConversion"/>
  </si>
  <si>
    <t>933-34895943</t>
    <phoneticPr fontId="1" type="noConversion"/>
  </si>
  <si>
    <t>2026.07.14</t>
    <phoneticPr fontId="1" type="noConversion"/>
  </si>
  <si>
    <t>賬單金額€ 18,006.70  EUR(到期日 2026年7月18日)</t>
    <phoneticPr fontId="1" type="noConversion"/>
  </si>
  <si>
    <t xml:space="preserve">Beneficiary Name: Epix Logistics Co., Limited
Bank Account :7949929686
Bank name and code: DBS Bank (Hong Kong) Limited (016)
Branch code: 478
Swift/BIC:DHBKHKHH
Bank Address: G/F, The Center, 99 Queen's Road Central, Central, 000, Hong Kong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</si>
</sst>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;[Red]#,##0.00"/>
    <numFmt numFmtId="177" formatCode="[$€-2]\ #,##0.00_);[Red]\([$€-2]\ #,##0.00\)"/>
  </numFmts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22"/>
      <color theme="1"/>
      <name val="等线"/>
      <family val="4"/>
      <charset val="134"/>
      <scheme val="minor"/>
    </font>
    <font>
      <b/>
      <sz val="12"/>
      <color theme="1"/>
      <name val="等线"/>
      <family val="4"/>
      <charset val="134"/>
      <scheme val="minor"/>
    </font>
    <font>
      <u/>
      <sz val="12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vertical="top"/>
    </xf>
    <xf numFmtId="177" fontId="3" fillId="0" borderId="0" xfId="0" applyNumberFormat="1" applyFont="1" applyAlignment="1">
      <alignment horizontal="right" vertical="center"/>
    </xf>
    <xf numFmtId="177" fontId="4" fillId="0" borderId="1" xfId="0" applyNumberFormat="1" applyFont="1" applyBorder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63502</xdr:colOff>
      <xdr:row>1</xdr:row>
      <xdr:rowOff>12700</xdr:rowOff>
    </xdr:from>
    <xdr:to>
      <xdr:col>0</xdr:col>
      <xdr:colOff>1059844</xdr:colOff>
      <xdr:row>1</xdr:row>
      <xdr:rowOff>304800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C927821-487D-9139-68DD-FDD89ECCA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2" y="254000"/>
          <a:ext cx="996342" cy="292100"/>
        </a:xfrm>
        <a:prstGeom prst="rect">
          <a:avLst/>
        </a:prstGeom>
      </xdr:spPr>
    </xdr:pic>
    <xdr:clientData/>
  </xdr:twoCellAnchor>
  <xdr:twoCellAnchor editAs="oneCell">
    <xdr:from>
      <xdr:col>3</xdr:col>
      <xdr:colOff>368301</xdr:colOff>
      <xdr:row>19</xdr:row>
      <xdr:rowOff>12700</xdr:rowOff>
    </xdr:from>
    <xdr:to>
      <xdr:col>6</xdr:col>
      <xdr:colOff>897035</xdr:colOff>
      <xdr:row>38</xdr:row>
      <xdr:rowOff>38100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A87BF103-835C-15A7-B149-05574ADDC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2501" y="5537200"/>
          <a:ext cx="2916334" cy="3886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2D7E7-5C34-5C41-BB6E-60A96F3B8CCC}">
  <dimension ref="A1:G43"/>
  <sheetViews>
    <sheetView tabSelected="1" workbookViewId="0">
      <selection activeCell="L16" sqref="L16"/>
    </sheetView>
  </sheetViews>
  <sheetFormatPr baseColWidth="10" defaultRowHeight="16"/>
  <cols>
    <col min="1" max="1" width="19.33203125" customWidth="1"/>
    <col min="2" max="2" width="10.6640625" customWidth="1"/>
    <col min="3" max="3" width="11" customWidth="1"/>
    <col min="4" max="4" width="12.6640625" customWidth="1"/>
    <col min="5" max="5" width="2" customWidth="1"/>
    <col min="6" max="6" width="16.6640625" customWidth="1"/>
    <col min="7" max="7" width="16.1640625" style="11" customWidth="1"/>
  </cols>
  <sheetData>
    <row r="1" spans="1:7" ht="19" customHeight="1">
      <c r="A1" s="14"/>
      <c r="B1" s="15" t="s">
        <v>0</v>
      </c>
      <c r="C1" s="15"/>
      <c r="D1" s="15"/>
      <c r="E1" s="15"/>
      <c r="F1" s="1" t="s">
        <v>1</v>
      </c>
      <c r="G1" s="8" t="s">
        <v>4</v>
      </c>
    </row>
    <row r="2" spans="1:7" ht="41" customHeight="1">
      <c r="A2" s="14"/>
      <c r="B2" s="15"/>
      <c r="C2" s="15"/>
      <c r="D2" s="15"/>
      <c r="E2" s="15"/>
      <c r="F2" s="1" t="s">
        <v>12</v>
      </c>
      <c r="G2" s="8" t="s">
        <v>28</v>
      </c>
    </row>
    <row r="4" spans="1:7">
      <c r="A4" s="3"/>
      <c r="B4" s="3"/>
      <c r="C4" s="3"/>
      <c r="D4" s="3"/>
      <c r="E4" s="3"/>
      <c r="F4" s="3"/>
      <c r="G4" s="9"/>
    </row>
    <row r="5" spans="1:7">
      <c r="A5" s="2"/>
      <c r="B5" s="2"/>
      <c r="C5" s="2"/>
      <c r="D5" s="2"/>
      <c r="E5" s="2"/>
      <c r="F5" s="2"/>
      <c r="G5" s="10"/>
    </row>
    <row r="6" spans="1:7">
      <c r="A6" t="s">
        <v>2</v>
      </c>
      <c r="F6" t="s">
        <v>5</v>
      </c>
    </row>
    <row r="7" spans="1:7" ht="119" customHeight="1">
      <c r="A7" s="16" t="s">
        <v>11</v>
      </c>
      <c r="B7" s="17"/>
      <c r="C7" s="17"/>
      <c r="D7" s="7"/>
      <c r="E7" s="7"/>
      <c r="F7" s="16" t="s">
        <v>3</v>
      </c>
      <c r="G7" s="16"/>
    </row>
    <row r="8" spans="1:7">
      <c r="A8" s="6"/>
      <c r="B8" s="6"/>
      <c r="C8" s="6"/>
      <c r="D8" s="6"/>
      <c r="E8" s="6"/>
      <c r="F8" s="6"/>
      <c r="G8" s="12"/>
    </row>
    <row r="9" spans="1:7">
      <c r="A9" t="s">
        <v>29</v>
      </c>
    </row>
    <row r="12" spans="1:7">
      <c r="A12" s="4" t="s">
        <v>6</v>
      </c>
      <c r="B12" s="4"/>
      <c r="C12" s="4" t="s">
        <v>10</v>
      </c>
      <c r="D12" s="4" t="s">
        <v>7</v>
      </c>
      <c r="E12" s="4"/>
      <c r="F12" s="4"/>
      <c r="G12" s="11" t="s">
        <v>8</v>
      </c>
    </row>
    <row r="13" spans="1:7">
      <c r="A13" t="s">
        <v>13</v>
      </c>
      <c r="C13" s="4">
        <v>1455</v>
      </c>
      <c r="D13" s="5">
        <v>0.8</v>
      </c>
      <c r="G13" s="11">
        <f t="shared" ref="G13:G37" si="0">C13*D13</f>
        <v>1164</v>
      </c>
    </row>
    <row r="14" spans="1:7">
      <c r="A14" t="s">
        <v>13</v>
      </c>
      <c r="C14" s="4">
        <v>450</v>
      </c>
      <c r="D14" s="5">
        <v>0.65</v>
      </c>
      <c r="G14" s="11">
        <f t="shared" si="0"/>
        <v>292.5</v>
      </c>
    </row>
    <row r="15" spans="1:7">
      <c r="A15" t="s">
        <v>14</v>
      </c>
      <c r="C15" s="4">
        <v>310</v>
      </c>
      <c r="D15" s="5">
        <v>3</v>
      </c>
      <c r="G15" s="11">
        <f t="shared" si="0"/>
        <v>930</v>
      </c>
    </row>
    <row r="16" spans="1:7">
      <c r="A16" t="s">
        <v>15</v>
      </c>
      <c r="C16" s="4">
        <v>1955</v>
      </c>
      <c r="D16" s="5">
        <v>0.8</v>
      </c>
      <c r="G16" s="11">
        <f t="shared" si="0"/>
        <v>1564</v>
      </c>
    </row>
    <row r="17" spans="1:7">
      <c r="A17" t="s">
        <v>16</v>
      </c>
      <c r="C17" s="4">
        <v>301</v>
      </c>
      <c r="D17" s="5">
        <v>3</v>
      </c>
      <c r="G17" s="11">
        <f t="shared" si="0"/>
        <v>903</v>
      </c>
    </row>
    <row r="18" spans="1:7">
      <c r="A18" t="s">
        <v>17</v>
      </c>
      <c r="C18" s="4">
        <v>1037</v>
      </c>
      <c r="D18" s="5">
        <v>0.8</v>
      </c>
      <c r="G18" s="11">
        <f t="shared" si="0"/>
        <v>829.6</v>
      </c>
    </row>
    <row r="19" spans="1:7">
      <c r="A19" t="s">
        <v>17</v>
      </c>
      <c r="C19" s="4">
        <v>754</v>
      </c>
      <c r="D19" s="5">
        <v>0.65</v>
      </c>
      <c r="G19" s="11">
        <f t="shared" si="0"/>
        <v>490.1</v>
      </c>
    </row>
    <row r="20" spans="1:7">
      <c r="A20" t="s">
        <v>18</v>
      </c>
      <c r="C20" s="4">
        <v>289</v>
      </c>
      <c r="D20" s="5">
        <v>3</v>
      </c>
      <c r="G20" s="11">
        <f t="shared" si="0"/>
        <v>867</v>
      </c>
    </row>
    <row r="21" spans="1:7">
      <c r="A21" t="s">
        <v>19</v>
      </c>
      <c r="C21" s="4">
        <v>783</v>
      </c>
      <c r="D21" s="5">
        <v>0.7</v>
      </c>
      <c r="G21" s="11">
        <f t="shared" si="0"/>
        <v>548.09999999999991</v>
      </c>
    </row>
    <row r="22" spans="1:7">
      <c r="A22" t="s">
        <v>19</v>
      </c>
      <c r="C22" s="4">
        <v>1001</v>
      </c>
      <c r="D22" s="5">
        <v>0.65</v>
      </c>
      <c r="G22" s="11">
        <f t="shared" si="0"/>
        <v>650.65</v>
      </c>
    </row>
    <row r="23" spans="1:7">
      <c r="A23" t="s">
        <v>20</v>
      </c>
      <c r="C23" s="4">
        <v>259</v>
      </c>
      <c r="D23" s="5">
        <v>3</v>
      </c>
      <c r="G23" s="11">
        <f t="shared" si="0"/>
        <v>777</v>
      </c>
    </row>
    <row r="24" spans="1:7">
      <c r="A24" t="s">
        <v>21</v>
      </c>
      <c r="C24" s="4">
        <v>420</v>
      </c>
      <c r="D24" s="5">
        <v>0.8</v>
      </c>
      <c r="G24" s="11">
        <f t="shared" si="0"/>
        <v>336</v>
      </c>
    </row>
    <row r="25" spans="1:7">
      <c r="A25" t="s">
        <v>21</v>
      </c>
      <c r="C25" s="4">
        <v>638</v>
      </c>
      <c r="D25" s="5">
        <v>0.7</v>
      </c>
      <c r="G25" s="11">
        <f t="shared" si="0"/>
        <v>446.59999999999997</v>
      </c>
    </row>
    <row r="26" spans="1:7">
      <c r="A26" t="s">
        <v>21</v>
      </c>
      <c r="C26" s="4">
        <v>1347</v>
      </c>
      <c r="D26" s="5">
        <v>0.65</v>
      </c>
      <c r="G26" s="11">
        <f t="shared" si="0"/>
        <v>875.55000000000007</v>
      </c>
    </row>
    <row r="27" spans="1:7">
      <c r="A27" t="s">
        <v>22</v>
      </c>
      <c r="C27" s="4">
        <v>415</v>
      </c>
      <c r="D27" s="5">
        <v>3</v>
      </c>
      <c r="G27" s="11">
        <f t="shared" si="0"/>
        <v>1245</v>
      </c>
    </row>
    <row r="28" spans="1:7">
      <c r="A28" t="s">
        <v>23</v>
      </c>
      <c r="C28" s="4">
        <v>1045</v>
      </c>
      <c r="D28" s="5">
        <v>0.8</v>
      </c>
      <c r="G28" s="11">
        <f t="shared" si="0"/>
        <v>836</v>
      </c>
    </row>
    <row r="29" spans="1:7">
      <c r="A29" t="s">
        <v>24</v>
      </c>
      <c r="C29" s="4">
        <v>153</v>
      </c>
      <c r="D29" s="5">
        <v>3</v>
      </c>
      <c r="G29" s="11">
        <f t="shared" si="0"/>
        <v>459</v>
      </c>
    </row>
    <row r="30" spans="1:7">
      <c r="A30" t="s">
        <v>25</v>
      </c>
      <c r="C30" s="4">
        <v>1288</v>
      </c>
      <c r="D30" s="5">
        <v>0.8</v>
      </c>
      <c r="G30" s="11">
        <f t="shared" si="0"/>
        <v>1030.4000000000001</v>
      </c>
    </row>
    <row r="31" spans="1:7">
      <c r="A31" t="s">
        <v>25</v>
      </c>
      <c r="C31" s="4">
        <v>198</v>
      </c>
      <c r="D31" s="5">
        <v>0.7</v>
      </c>
      <c r="G31" s="11">
        <f t="shared" si="0"/>
        <v>138.6</v>
      </c>
    </row>
    <row r="32" spans="1:7">
      <c r="A32" t="s">
        <v>25</v>
      </c>
      <c r="C32" s="4">
        <v>603</v>
      </c>
      <c r="D32" s="5">
        <v>0.65</v>
      </c>
      <c r="G32" s="11">
        <f t="shared" si="0"/>
        <v>391.95</v>
      </c>
    </row>
    <row r="33" spans="1:7">
      <c r="A33" t="s">
        <v>26</v>
      </c>
      <c r="B33" s="4"/>
      <c r="C33" s="4">
        <v>351</v>
      </c>
      <c r="D33" s="5">
        <v>3</v>
      </c>
      <c r="E33" s="4"/>
      <c r="F33" s="4"/>
      <c r="G33" s="11">
        <f t="shared" si="0"/>
        <v>1053</v>
      </c>
    </row>
    <row r="34" spans="1:7">
      <c r="A34" s="4" t="s">
        <v>27</v>
      </c>
      <c r="B34" s="4"/>
      <c r="C34" s="4">
        <v>201</v>
      </c>
      <c r="D34" s="5">
        <v>0.8</v>
      </c>
      <c r="E34" s="4"/>
      <c r="F34" s="4"/>
      <c r="G34" s="11">
        <f t="shared" si="0"/>
        <v>160.80000000000001</v>
      </c>
    </row>
    <row r="35" spans="1:7">
      <c r="A35" s="4" t="s">
        <v>27</v>
      </c>
      <c r="B35" s="4"/>
      <c r="C35" s="4">
        <v>519</v>
      </c>
      <c r="D35" s="5">
        <v>0.7</v>
      </c>
      <c r="E35" s="4"/>
      <c r="F35" s="4"/>
      <c r="G35" s="11">
        <f t="shared" si="0"/>
        <v>363.29999999999995</v>
      </c>
    </row>
    <row r="36" spans="1:7">
      <c r="A36" s="4" t="s">
        <v>27</v>
      </c>
      <c r="B36" s="4"/>
      <c r="C36" s="4">
        <v>1087</v>
      </c>
      <c r="D36" s="5">
        <v>0.65</v>
      </c>
      <c r="E36" s="4"/>
      <c r="F36" s="4"/>
      <c r="G36" s="11">
        <f t="shared" si="0"/>
        <v>706.55000000000007</v>
      </c>
    </row>
    <row r="37" spans="1:7">
      <c r="A37" s="4" t="s">
        <v>27</v>
      </c>
      <c r="B37" s="4"/>
      <c r="C37" s="4">
        <v>316</v>
      </c>
      <c r="D37" s="5">
        <v>3</v>
      </c>
      <c r="E37" s="4"/>
      <c r="F37" s="4"/>
      <c r="G37" s="11">
        <f t="shared" si="0"/>
        <v>948</v>
      </c>
    </row>
    <row r="38" spans="1:7">
      <c r="A38" s="4"/>
      <c r="B38" s="4"/>
      <c r="C38" s="4"/>
      <c r="D38" s="5"/>
      <c r="E38" s="4"/>
      <c r="F38" s="4"/>
    </row>
    <row r="39" spans="1:7">
      <c r="A39" s="4"/>
      <c r="B39" s="4"/>
      <c r="C39" s="4"/>
      <c r="D39" s="4"/>
      <c r="E39" s="4"/>
      <c r="F39" s="4" t="s">
        <v>9</v>
      </c>
      <c r="G39" s="11">
        <f>SUM(G13:G38)</f>
        <v>18006.7</v>
      </c>
    </row>
    <row r="40" spans="1:7">
      <c r="A40" s="6"/>
      <c r="B40" s="6"/>
      <c r="C40" s="6"/>
      <c r="D40" s="6"/>
      <c r="E40" s="6"/>
      <c r="F40" s="6"/>
      <c r="G40" s="12"/>
    </row>
    <row r="41" spans="1:7">
      <c r="A41" s="13" t="s">
        <v>30</v>
      </c>
      <c r="B41" s="13"/>
      <c r="C41" s="13"/>
      <c r="D41" s="13"/>
      <c r="E41" s="13"/>
      <c r="F41" s="13"/>
      <c r="G41" s="13"/>
    </row>
    <row r="42" spans="1:7">
      <c r="A42" s="13"/>
      <c r="B42" s="13"/>
      <c r="C42" s="13"/>
      <c r="D42" s="13"/>
      <c r="E42" s="13"/>
      <c r="F42" s="13"/>
      <c r="G42" s="13"/>
    </row>
    <row r="43" spans="1:7" ht="82" customHeight="1">
      <c r="A43" s="13"/>
      <c r="B43" s="13"/>
      <c r="C43" s="13"/>
      <c r="D43" s="13"/>
      <c r="E43" s="13"/>
      <c r="F43" s="13"/>
      <c r="G43" s="13"/>
    </row>
  </sheetData>
  <mergeCells count="5">
    <mergeCell ref="A41:G43"/>
    <mergeCell ref="A1:A2"/>
    <mergeCell ref="B1:E2"/>
    <mergeCell ref="F7:G7"/>
    <mergeCell ref="A7:C7"/>
  </mergeCells>
  <phoneticPr fontId="1" type="noConversion"/>
  <pageMargins left="0.7" right="0.2" top="0.75" bottom="0.75" header="0.1" footer="0.1"/>
  <pageSetup paperSize="5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2026-07-25T15:35:55Z</cp:lastPrinted>
  <dcterms:created xsi:type="dcterms:W3CDTF">2026-05-18T11:09:32Z</dcterms:created>
  <dcterms:modified xsi:type="dcterms:W3CDTF">2026-07-25T15:36:03Z</dcterms:modified>
</cp:coreProperties>
</file>